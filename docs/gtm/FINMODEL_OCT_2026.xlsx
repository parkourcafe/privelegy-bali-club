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нмоде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005962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165" fontId="5" fillId="2" borderId="0" pivotButton="0" quotePrefix="0" xfId="0"/>
    <xf numFmtId="0" fontId="6" fillId="0" borderId="0" applyAlignment="1" pivotButton="0" quotePrefix="0" xfId="0">
      <alignment horizontal="center"/>
    </xf>
    <xf numFmtId="3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6" fillId="0" borderId="0" pivotButton="0" quotePrefix="0" xfId="0"/>
    <xf numFmtId="164" fontId="4" fillId="0" borderId="0" applyAlignment="1" pivotButton="0" quotePrefix="0" xfId="0">
      <alignment horizontal="center"/>
    </xf>
    <xf numFmtId="0" fontId="6" fillId="0" borderId="1" pivotButton="0" quotePrefix="0" xfId="0"/>
    <xf numFmtId="164" fontId="6" fillId="0" borderId="1" applyAlignment="1" pivotButton="0" quotePrefix="0" xfId="0">
      <alignment horizontal="center"/>
    </xf>
    <xf numFmtId="164" fontId="6" fillId="0" borderId="1" pivotButton="0" quotePrefix="0" xfId="0"/>
    <xf numFmtId="164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Финмодель Other Bali — run-rate на 1 октября 2026</t>
        </is>
      </c>
    </row>
    <row r="2">
      <c r="A2" s="2" t="inlineStr">
        <is>
          <t>Внутренний документ · v1 · 2026-07-23. Синие ячейки на жёлтом — вводные (меняйте их); чёрные — формулы, не трогать.</t>
        </is>
      </c>
    </row>
    <row r="4">
      <c r="A4" s="3" t="inlineStr">
        <is>
          <t>ЦЕНЫ</t>
        </is>
      </c>
    </row>
    <row r="5">
      <c r="A5" s="4" t="inlineStr">
        <is>
          <t>Fee за севшую бронь (performance), $</t>
        </is>
      </c>
      <c r="B5" s="5" t="n">
        <v>5</v>
      </c>
    </row>
    <row r="6">
      <c r="A6" s="4" t="inlineStr">
        <is>
          <t>Подписка партнёра, $/мес</t>
        </is>
      </c>
      <c r="B6" s="5" t="n">
        <v>25</v>
      </c>
    </row>
    <row r="7">
      <c r="A7" s="4" t="inlineStr">
        <is>
          <t>Отель/вилла B2B, $/мес</t>
        </is>
      </c>
      <c r="B7" s="5" t="n">
        <v>50</v>
      </c>
    </row>
    <row r="9">
      <c r="A9" s="3" t="inlineStr">
        <is>
          <t>ВОРОНКА — общие доли (гипотезы до первых данных)</t>
        </is>
      </c>
    </row>
    <row r="10">
      <c r="A10" s="4" t="inlineStr">
        <is>
          <t>Доля визитов, открывших карточки заведений</t>
        </is>
      </c>
      <c r="B10" s="6" t="n">
        <v>0.5</v>
      </c>
    </row>
    <row r="11">
      <c r="A11" s="4" t="inlineStr">
        <is>
          <t>Клик «Reserve» → подтверждённая бронь</t>
        </is>
      </c>
      <c r="B11" s="6" t="n">
        <v>0.5</v>
      </c>
    </row>
    <row r="12">
      <c r="A12" s="4" t="inlineStr">
        <is>
          <t>Подтверждённая бронь → гость сел</t>
        </is>
      </c>
      <c r="B12" s="6" t="n">
        <v>0.75</v>
      </c>
    </row>
    <row r="14">
      <c r="A14" s="3" t="inlineStr">
        <is>
          <t>СЦЕНАРИИ</t>
        </is>
      </c>
      <c r="C14" s="7" t="inlineStr">
        <is>
          <t>Пессимист</t>
        </is>
      </c>
      <c r="D14" s="7" t="inlineStr">
        <is>
          <t>База</t>
        </is>
      </c>
      <c r="E14" s="7" t="inlineStr">
        <is>
          <t>Оптимист</t>
        </is>
      </c>
    </row>
    <row r="15">
      <c r="A15" s="2" t="inlineStr">
        <is>
          <t>Вводные сценария:</t>
        </is>
      </c>
    </row>
    <row r="16">
      <c r="A16" s="4" t="inlineStr">
        <is>
          <t>Визиты сайта/мес</t>
        </is>
      </c>
      <c r="C16" s="8" t="n">
        <v>2000</v>
      </c>
      <c r="D16" s="8" t="n">
        <v>5000</v>
      </c>
      <c r="E16" s="8" t="n">
        <v>12000</v>
      </c>
    </row>
    <row r="17">
      <c r="A17" s="4" t="inlineStr">
        <is>
          <t>CTR «Reserve» от смотревших карточки</t>
        </is>
      </c>
      <c r="C17" s="9" t="n">
        <v>0.07000000000000001</v>
      </c>
      <c r="D17" s="9" t="n">
        <v>0.1</v>
      </c>
      <c r="E17" s="9" t="n">
        <v>0.12</v>
      </c>
    </row>
    <row r="18">
      <c r="A18" s="4" t="inlineStr">
        <is>
          <t>Платят подписку, заведений</t>
        </is>
      </c>
      <c r="C18" s="8" t="n">
        <v>5</v>
      </c>
      <c r="D18" s="8" t="n">
        <v>12</v>
      </c>
      <c r="E18" s="8" t="n">
        <v>25</v>
      </c>
    </row>
    <row r="19">
      <c r="A19" s="4" t="inlineStr">
        <is>
          <t>Отели/виллы (B2B), объектов</t>
        </is>
      </c>
      <c r="C19" s="8" t="n">
        <v>0</v>
      </c>
      <c r="D19" s="8" t="n">
        <v>2</v>
      </c>
      <c r="E19" s="8" t="n">
        <v>5</v>
      </c>
    </row>
    <row r="20">
      <c r="A20" s="4" t="inlineStr">
        <is>
          <t>Заведений с подключённой бронью (справочно)</t>
        </is>
      </c>
      <c r="C20" s="8" t="n">
        <v>10</v>
      </c>
      <c r="D20" s="8" t="n">
        <v>30</v>
      </c>
      <c r="E20" s="8" t="n">
        <v>60</v>
      </c>
    </row>
    <row r="21">
      <c r="A21" s="2" t="inlineStr">
        <is>
          <t>Расчёт воронки:</t>
        </is>
      </c>
    </row>
    <row r="22">
      <c r="A22" s="4" t="inlineStr">
        <is>
          <t>Смотрят карточки/мес</t>
        </is>
      </c>
      <c r="C22" s="10">
        <f>C16*$B$10</f>
        <v/>
      </c>
      <c r="D22" s="10">
        <f>D16*$B$10</f>
        <v/>
      </c>
      <c r="E22" s="10">
        <f>E16*$B$10</f>
        <v/>
      </c>
    </row>
    <row r="23">
      <c r="A23" s="4" t="inlineStr">
        <is>
          <t>Клики «Reserve»/мес</t>
        </is>
      </c>
      <c r="C23" s="10">
        <f>C22*C17</f>
        <v/>
      </c>
      <c r="D23" s="10">
        <f>D22*D17</f>
        <v/>
      </c>
      <c r="E23" s="10">
        <f>E22*E17</f>
        <v/>
      </c>
    </row>
    <row r="24">
      <c r="A24" s="4" t="inlineStr">
        <is>
          <t>Подтверждённые брони/мес</t>
        </is>
      </c>
      <c r="C24" s="10">
        <f>C23*$B$11</f>
        <v/>
      </c>
      <c r="D24" s="10">
        <f>D23*$B$11</f>
        <v/>
      </c>
      <c r="E24" s="10">
        <f>E23*$B$11</f>
        <v/>
      </c>
    </row>
    <row r="25">
      <c r="A25" s="4" t="inlineStr">
        <is>
          <t>Севшие брони/мес</t>
        </is>
      </c>
      <c r="C25" s="10">
        <f>C24*$B$12</f>
        <v/>
      </c>
      <c r="D25" s="10">
        <f>D24*$B$12</f>
        <v/>
      </c>
      <c r="E25" s="10">
        <f>E24*$B$12</f>
        <v/>
      </c>
    </row>
    <row r="27">
      <c r="A27" s="11" t="inlineStr">
        <is>
          <t>Выручка performance</t>
        </is>
      </c>
      <c r="C27" s="12">
        <f>C25*$B$5</f>
        <v/>
      </c>
      <c r="D27" s="12">
        <f>D25*$B$5</f>
        <v/>
      </c>
      <c r="E27" s="12">
        <f>E25*$B$5</f>
        <v/>
      </c>
    </row>
    <row r="28">
      <c r="A28" s="11" t="inlineStr">
        <is>
          <t>Выручка подписок</t>
        </is>
      </c>
      <c r="C28" s="12">
        <f>C18*$B$6</f>
        <v/>
      </c>
      <c r="D28" s="12">
        <f>D18*$B$6</f>
        <v/>
      </c>
      <c r="E28" s="12">
        <f>E18*$B$6</f>
        <v/>
      </c>
    </row>
    <row r="29">
      <c r="A29" s="11" t="inlineStr">
        <is>
          <t>Выручка B2B (отели/виллы)</t>
        </is>
      </c>
      <c r="C29" s="12">
        <f>C19*$B$7</f>
        <v/>
      </c>
      <c r="D29" s="12">
        <f>D19*$B$7</f>
        <v/>
      </c>
      <c r="E29" s="12">
        <f>E19*$B$7</f>
        <v/>
      </c>
    </row>
    <row r="30">
      <c r="A30" s="13" t="inlineStr">
        <is>
          <t>ИТОГО выручка/мес</t>
        </is>
      </c>
      <c r="C30" s="14">
        <f>SUM(C27:C29)</f>
        <v/>
      </c>
      <c r="D30" s="14">
        <f>SUM(D27:D29)</f>
        <v/>
      </c>
      <c r="E30" s="14">
        <f>SUM(E27:E29)</f>
        <v/>
      </c>
    </row>
    <row r="32">
      <c r="A32" s="3" t="inlineStr">
        <is>
          <t>РАСХОДЫ/мес</t>
        </is>
      </c>
    </row>
    <row r="33">
      <c r="A33" s="4" t="inlineStr">
        <is>
          <t>Инфраструктура (Vercel + Supabase + домен)</t>
        </is>
      </c>
      <c r="B33" s="5" t="n">
        <v>50</v>
      </c>
    </row>
    <row r="34">
      <c r="A34" s="4" t="inlineStr">
        <is>
          <t>Fadjri (outreach, part-time)</t>
        </is>
      </c>
      <c r="B34" s="5" t="n">
        <v>400</v>
      </c>
    </row>
    <row r="35">
      <c r="A35" s="4" t="inlineStr">
        <is>
          <t>Прочее (печать QR, транспорт, симка)</t>
        </is>
      </c>
      <c r="B35" s="5" t="n">
        <v>50</v>
      </c>
    </row>
    <row r="36">
      <c r="A36" s="13" t="inlineStr">
        <is>
          <t>Burn итого</t>
        </is>
      </c>
      <c r="B36" s="15">
        <f>SUM(B33:B35)</f>
        <v/>
      </c>
    </row>
    <row r="38">
      <c r="A38" s="11" t="inlineStr">
        <is>
          <t>ПРИБЫЛЬ/мес (выручка − burn)</t>
        </is>
      </c>
      <c r="C38" s="16">
        <f>C30-$B$36</f>
        <v/>
      </c>
      <c r="D38" s="16">
        <f>D30-$B$36</f>
        <v/>
      </c>
      <c r="E38" s="16">
        <f>E30-$B$36</f>
        <v/>
      </c>
    </row>
    <row r="40">
      <c r="A40" s="3" t="inlineStr">
        <is>
          <t>ВЕХИ (что должно оказаться правдой)</t>
        </is>
      </c>
    </row>
    <row r="41">
      <c r="A41" s="4" t="inlineStr">
        <is>
          <t>К 1 сентября: 50 подтверждённых листингов · 15 с бронью · 500 визитов/неделю</t>
        </is>
      </c>
    </row>
    <row r="42">
      <c r="A42" s="4" t="inlineStr">
        <is>
          <t>К 1 октября: 100 подтверждённых · 30 с бронью · 200 кликов «Reserve»/мес</t>
        </is>
      </c>
    </row>
    <row r="43">
      <c r="A43" s="2" t="inlineStr">
        <is>
          <t>Источники: цены и коэффициенты — решения основателя (сессия 2026-07-23), гипотезы до первых данных.</t>
        </is>
      </c>
    </row>
    <row r="44">
      <c r="A44" s="2" t="inlineStr">
        <is>
          <t>Замеры воронки: docs/gtm/BALI_PRIVILEGE_GROWTH_MEASUREMENT_SPEC.md. Гардрейлы №6–8: AGENTS.md.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2026-07-23T06:16:34Z</dcterms:created>
  <dcterms:modified xsi:type="dcterms:W3CDTF">2026-07-23T06:16:34Z</dcterms:modified>
</cp:coreProperties>
</file>